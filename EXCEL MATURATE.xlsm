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SM\Desktop\"/>
    </mc:Choice>
  </mc:AlternateContent>
  <bookViews>
    <workbookView xWindow="0" yWindow="0" windowWidth="28800" windowHeight="11700"/>
  </bookViews>
  <sheets>
    <sheet name="Maturate" sheetId="69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3" i="694" l="1"/>
  <c r="E63" i="694"/>
  <c r="G58" i="694"/>
  <c r="G53" i="694"/>
  <c r="G48" i="694"/>
  <c r="C37" i="694"/>
  <c r="H37" i="694" s="1"/>
  <c r="J22" i="694"/>
  <c r="J33" i="694" s="1"/>
  <c r="J27" i="694"/>
  <c r="J32" i="694"/>
  <c r="G28" i="694"/>
  <c r="G23" i="694"/>
  <c r="G18" i="694"/>
  <c r="H48" i="694" l="1"/>
  <c r="J63" i="694"/>
  <c r="G41" i="694"/>
  <c r="H40" i="694"/>
  <c r="E33" i="694"/>
  <c r="H23" i="694" s="1"/>
  <c r="C33" i="694"/>
  <c r="H58" i="694" l="1"/>
  <c r="H53" i="694"/>
  <c r="G33" i="694"/>
  <c r="H38" i="694"/>
  <c r="H39" i="694"/>
  <c r="D37" i="694"/>
  <c r="H28" i="694"/>
  <c r="H18" i="694"/>
  <c r="G63" i="694"/>
  <c r="K28" i="694" l="1"/>
  <c r="K30" i="694"/>
  <c r="K23" i="694"/>
  <c r="K20" i="694"/>
  <c r="K25" i="694"/>
  <c r="K18" i="694"/>
  <c r="K61" i="694"/>
  <c r="K59" i="694"/>
  <c r="K53" i="694"/>
  <c r="K50" i="694"/>
  <c r="K58" i="694"/>
  <c r="K48" i="694"/>
  <c r="K56" i="694"/>
  <c r="K54" i="694"/>
</calcChain>
</file>

<file path=xl/sharedStrings.xml><?xml version="1.0" encoding="utf-8"?>
<sst xmlns="http://schemas.openxmlformats.org/spreadsheetml/2006/main" count="89" uniqueCount="50">
  <si>
    <t xml:space="preserve">Nr.
Crt. </t>
  </si>
  <si>
    <t>Proprietăți senzoriale</t>
  </si>
  <si>
    <t>Culoare</t>
  </si>
  <si>
    <t>Miros</t>
  </si>
  <si>
    <t>Aspect</t>
  </si>
  <si>
    <t>C</t>
  </si>
  <si>
    <t>Sacrificat: SC SAMCOM MEAT SRL RO762CE</t>
  </si>
  <si>
    <t>Proprietati senzoriale: Culoare - C, Miros - C, Aspect - C (C-corespunzator, N-necorespunzator)</t>
  </si>
  <si>
    <t xml:space="preserve">Denumire produs </t>
  </si>
  <si>
    <t xml:space="preserve"> </t>
  </si>
  <si>
    <t>Denumire produs</t>
  </si>
  <si>
    <t>Producator: SC DADYCOM SRL</t>
  </si>
  <si>
    <t xml:space="preserve">Pus la maturat </t>
  </si>
  <si>
    <t>Scos de la maturat</t>
  </si>
  <si>
    <t>KG</t>
  </si>
  <si>
    <t>LOT</t>
  </si>
  <si>
    <t>ANTRICOT VITĂ</t>
  </si>
  <si>
    <t>MUȘCHI VITĂ</t>
  </si>
  <si>
    <t>Total scos de la maturat</t>
  </si>
  <si>
    <t>%</t>
  </si>
  <si>
    <t>TOMAHAWK VITĂ</t>
  </si>
  <si>
    <t>T-BONE VITĂ</t>
  </si>
  <si>
    <t>ANTRICOT OS VITĂ</t>
  </si>
  <si>
    <t>Produse rezultate</t>
  </si>
  <si>
    <t>PRODUSE REZULTATE</t>
  </si>
  <si>
    <t>PRODUS</t>
  </si>
  <si>
    <t>Carne vita lucru</t>
  </si>
  <si>
    <t>Oase vită</t>
  </si>
  <si>
    <t xml:space="preserve"> %</t>
  </si>
  <si>
    <t xml:space="preserve">Cantitate rezultată </t>
  </si>
  <si>
    <t>MATURARE UMEDĂ</t>
  </si>
  <si>
    <r>
      <t xml:space="preserve">             </t>
    </r>
    <r>
      <rPr>
        <b/>
        <sz val="10"/>
        <color rgb="FF000000"/>
        <rFont val="Times New Roman"/>
        <family val="1"/>
      </rPr>
      <t xml:space="preserve">                                                                                             MATURARE USCATĂ</t>
    </r>
  </si>
  <si>
    <t>TOTAL</t>
  </si>
  <si>
    <t>Kg</t>
  </si>
  <si>
    <t>Total</t>
  </si>
  <si>
    <t>VRĂBIOARĂ VITĂ</t>
  </si>
  <si>
    <t>FELII NECALIBRATE</t>
  </si>
  <si>
    <t>Flax vită</t>
  </si>
  <si>
    <t>FELII ANTRICOT</t>
  </si>
  <si>
    <t>T-BONE FELII</t>
  </si>
  <si>
    <t>TOMAHAWK FELII</t>
  </si>
  <si>
    <t>Pt frig</t>
  </si>
  <si>
    <t>CARNE VITA LUCRU</t>
  </si>
  <si>
    <t>FELII VRABIOARA</t>
  </si>
  <si>
    <t>FRIGARUI</t>
  </si>
  <si>
    <t>Sediu social: Sat Roșiori, Comuna Răchiți, Județul Botoșani
Înreg. la Of. Reg. Com. : J07/160/2003
C.U.I.: RO 15347823
Tel. / Fax : 0231.534.222/ 0331.814.444
Mobil :  0728.317.733/ 0732.115.155
Web site : www.samcom.ro
E-mail : office@samcom.ro</t>
  </si>
  <si>
    <t>FELII ANTRICOT CU OS</t>
  </si>
  <si>
    <t>FELII  MUSCHI PT CONG</t>
  </si>
  <si>
    <t>SEU</t>
  </si>
  <si>
    <t>RAPORT PRODUCȚIE - MATURATE  nr. 694 din 09.07.2024 LOT 4939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</si>
</sst>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8"/>
      <color rgb="FF000000"/>
      <name val="Times New Roman"/>
      <family val="1"/>
    </font>
    <font>
      <sz val="8"/>
      <name val="Times New Roman"/>
      <family val="1"/>
    </font>
    <font>
      <b/>
      <sz val="8"/>
      <color rgb="FF000000"/>
      <name val="Times New Roman"/>
      <family val="1"/>
    </font>
    <font>
      <b/>
      <sz val="8"/>
      <name val="Times New Roman"/>
      <family val="1"/>
    </font>
    <font>
      <sz val="10"/>
      <color rgb="FFFF0000"/>
      <name val="Arial"/>
      <family val="2"/>
    </font>
    <font>
      <b/>
      <sz val="10"/>
      <color rgb="FF000000"/>
      <name val="Times New Roman"/>
      <family val="1"/>
    </font>
    <font>
      <sz val="8"/>
      <name val="Arial"/>
      <family val="2"/>
    </font>
    <font>
      <b/>
      <i/>
      <sz val="8"/>
      <color rgb="FF000000"/>
      <name val="Times New Roman"/>
      <family val="1"/>
    </font>
    <font>
      <b/>
      <i/>
      <sz val="8"/>
      <name val="Times New Roman"/>
      <family val="1"/>
    </font>
    <font>
      <sz val="8"/>
      <color theme="1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44">
    <xf numFmtId="0" fontId="0" fillId="0" borderId="0" xfId="0"/>
    <xf numFmtId="0" fontId="3" fillId="0" borderId="0" xfId="1" applyFont="1"/>
    <xf numFmtId="0" fontId="1" fillId="0" borderId="0" xfId="1"/>
    <xf numFmtId="0" fontId="6" fillId="0" borderId="3" xfId="1" applyFont="1" applyBorder="1" applyAlignment="1">
      <alignment horizontal="center" vertical="center" wrapText="1"/>
    </xf>
    <xf numFmtId="3" fontId="4" fillId="0" borderId="0" xfId="1" applyNumberFormat="1" applyFont="1" applyAlignment="1">
      <alignment horizontal="center" vertical="center" wrapText="1"/>
    </xf>
    <xf numFmtId="0" fontId="5" fillId="0" borderId="0" xfId="1" applyFont="1"/>
    <xf numFmtId="0" fontId="8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4" fillId="0" borderId="0" xfId="1" applyFont="1"/>
    <xf numFmtId="0" fontId="10" fillId="0" borderId="0" xfId="1" applyFont="1"/>
    <xf numFmtId="0" fontId="10" fillId="0" borderId="0" xfId="1" applyFont="1" applyAlignment="1">
      <alignment horizontal="left"/>
    </xf>
    <xf numFmtId="2" fontId="7" fillId="0" borderId="3" xfId="1" applyNumberFormat="1" applyFont="1" applyBorder="1" applyAlignment="1">
      <alignment horizontal="center" vertical="center"/>
    </xf>
    <xf numFmtId="0" fontId="4" fillId="0" borderId="3" xfId="1" applyFont="1" applyBorder="1" applyAlignment="1">
      <alignment vertical="center" wrapText="1"/>
    </xf>
    <xf numFmtId="0" fontId="2" fillId="0" borderId="0" xfId="1" applyFont="1"/>
    <xf numFmtId="0" fontId="6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11" fillId="0" borderId="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6" xfId="1" applyFont="1" applyBorder="1" applyAlignment="1">
      <alignment horizontal="center" vertical="center" wrapText="1"/>
    </xf>
    <xf numFmtId="0" fontId="4" fillId="0" borderId="16" xfId="1" applyFont="1" applyBorder="1" applyAlignment="1">
      <alignment vertical="center" wrapText="1"/>
    </xf>
    <xf numFmtId="0" fontId="5" fillId="0" borderId="16" xfId="1" applyFont="1" applyBorder="1" applyAlignment="1">
      <alignment vertical="center"/>
    </xf>
    <xf numFmtId="0" fontId="5" fillId="0" borderId="22" xfId="1" applyFont="1" applyBorder="1" applyAlignment="1">
      <alignment vertical="center"/>
    </xf>
    <xf numFmtId="0" fontId="6" fillId="0" borderId="15" xfId="1" applyFont="1" applyBorder="1" applyAlignment="1">
      <alignment horizontal="center" vertical="center" wrapText="1"/>
    </xf>
    <xf numFmtId="2" fontId="7" fillId="0" borderId="16" xfId="1" applyNumberFormat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4" fontId="4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" fontId="4" fillId="0" borderId="1" xfId="1" applyNumberFormat="1" applyFont="1" applyBorder="1" applyAlignment="1">
      <alignment horizontal="center" vertical="center" wrapText="1"/>
    </xf>
    <xf numFmtId="0" fontId="2" fillId="0" borderId="0" xfId="1" applyFont="1" applyAlignment="1">
      <alignment horizontal="center"/>
    </xf>
    <xf numFmtId="0" fontId="11" fillId="0" borderId="6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16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4" fillId="0" borderId="0" xfId="1" applyFont="1" applyAlignment="1">
      <alignment horizontal="left"/>
    </xf>
    <xf numFmtId="0" fontId="9" fillId="0" borderId="0" xfId="1" applyFont="1" applyAlignment="1">
      <alignment horizontal="center"/>
    </xf>
    <xf numFmtId="0" fontId="11" fillId="0" borderId="1" xfId="1" applyFont="1" applyBorder="1" applyAlignment="1">
      <alignment horizontal="center" vertical="center" wrapText="1"/>
    </xf>
    <xf numFmtId="2" fontId="4" fillId="0" borderId="2" xfId="1" applyNumberFormat="1" applyFont="1" applyBorder="1" applyAlignment="1">
      <alignment horizontal="center" vertical="center" wrapText="1"/>
    </xf>
    <xf numFmtId="2" fontId="4" fillId="0" borderId="1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5" fillId="0" borderId="1" xfId="1" applyFont="1" applyBorder="1" applyAlignment="1">
      <alignment vertical="center"/>
    </xf>
    <xf numFmtId="0" fontId="5" fillId="0" borderId="12" xfId="1" applyFont="1" applyBorder="1" applyAlignment="1">
      <alignment vertical="center"/>
    </xf>
    <xf numFmtId="0" fontId="5" fillId="0" borderId="17" xfId="1" applyFont="1" applyBorder="1" applyAlignment="1">
      <alignment vertical="center"/>
    </xf>
    <xf numFmtId="0" fontId="5" fillId="0" borderId="11" xfId="1" applyFont="1" applyBorder="1" applyAlignment="1">
      <alignment vertical="center" wrapText="1"/>
    </xf>
    <xf numFmtId="0" fontId="5" fillId="0" borderId="16" xfId="1" applyFont="1" applyBorder="1" applyAlignment="1">
      <alignment vertical="center" wrapText="1"/>
    </xf>
    <xf numFmtId="0" fontId="4" fillId="0" borderId="6" xfId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0" fontId="4" fillId="0" borderId="1" xfId="1" applyFont="1" applyBorder="1" applyAlignment="1">
      <alignment vertical="center" wrapText="1"/>
    </xf>
    <xf numFmtId="0" fontId="5" fillId="0" borderId="2" xfId="1" applyFont="1" applyBorder="1" applyAlignment="1">
      <alignment vertical="center" wrapText="1"/>
    </xf>
    <xf numFmtId="0" fontId="4" fillId="0" borderId="10" xfId="1" applyFont="1" applyBorder="1" applyAlignment="1">
      <alignment horizontal="center" vertical="center" wrapText="1"/>
    </xf>
    <xf numFmtId="0" fontId="4" fillId="0" borderId="14" xfId="1" applyFont="1" applyBorder="1" applyAlignment="1">
      <alignment horizontal="center" vertical="center" wrapText="1"/>
    </xf>
    <xf numFmtId="0" fontId="4" fillId="0" borderId="15" xfId="1" applyFont="1" applyBorder="1" applyAlignment="1">
      <alignment horizontal="center" vertical="center" wrapText="1"/>
    </xf>
    <xf numFmtId="0" fontId="4" fillId="0" borderId="11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16" xfId="1" applyFont="1" applyBorder="1" applyAlignment="1">
      <alignment horizontal="center" vertical="center" wrapText="1"/>
    </xf>
    <xf numFmtId="0" fontId="5" fillId="2" borderId="11" xfId="1" applyFont="1" applyFill="1" applyBorder="1" applyAlignment="1">
      <alignment horizontal="center" vertical="center" wrapText="1"/>
    </xf>
    <xf numFmtId="0" fontId="5" fillId="2" borderId="6" xfId="1" applyFont="1" applyFill="1" applyBorder="1" applyAlignment="1">
      <alignment horizontal="center" vertical="center" wrapText="1"/>
    </xf>
    <xf numFmtId="0" fontId="5" fillId="2" borderId="16" xfId="1" applyFont="1" applyFill="1" applyBorder="1" applyAlignment="1">
      <alignment horizontal="center" vertical="center" wrapText="1"/>
    </xf>
    <xf numFmtId="0" fontId="4" fillId="0" borderId="12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17" xfId="1" applyFont="1" applyBorder="1" applyAlignment="1">
      <alignment horizontal="center" vertical="center" wrapText="1"/>
    </xf>
    <xf numFmtId="0" fontId="4" fillId="0" borderId="24" xfId="1" applyFont="1" applyBorder="1" applyAlignment="1">
      <alignment horizontal="center" vertical="center" wrapText="1"/>
    </xf>
    <xf numFmtId="0" fontId="4" fillId="0" borderId="28" xfId="1" applyFont="1" applyBorder="1" applyAlignment="1">
      <alignment horizontal="center" vertical="center" wrapText="1"/>
    </xf>
    <xf numFmtId="0" fontId="4" fillId="0" borderId="27" xfId="1" applyFont="1" applyBorder="1" applyAlignment="1">
      <alignment horizontal="center" vertical="center" wrapText="1"/>
    </xf>
    <xf numFmtId="2" fontId="4" fillId="0" borderId="11" xfId="1" applyNumberFormat="1" applyFont="1" applyBorder="1" applyAlignment="1">
      <alignment horizontal="center" vertical="center" wrapText="1"/>
    </xf>
    <xf numFmtId="2" fontId="4" fillId="0" borderId="6" xfId="1" applyNumberFormat="1" applyFont="1" applyBorder="1" applyAlignment="1">
      <alignment horizontal="center" vertical="center" wrapText="1"/>
    </xf>
    <xf numFmtId="2" fontId="4" fillId="0" borderId="16" xfId="1" applyNumberFormat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16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/>
    </xf>
    <xf numFmtId="0" fontId="5" fillId="0" borderId="21" xfId="1" applyFont="1" applyBorder="1" applyAlignment="1">
      <alignment horizontal="center" vertical="center"/>
    </xf>
    <xf numFmtId="0" fontId="5" fillId="0" borderId="22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 wrapText="1"/>
    </xf>
    <xf numFmtId="0" fontId="6" fillId="0" borderId="29" xfId="1" applyFont="1" applyBorder="1" applyAlignment="1">
      <alignment horizontal="center" vertical="center" wrapText="1"/>
    </xf>
    <xf numFmtId="0" fontId="5" fillId="0" borderId="24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 wrapText="1"/>
    </xf>
    <xf numFmtId="2" fontId="4" fillId="0" borderId="19" xfId="1" applyNumberFormat="1" applyFont="1" applyBorder="1" applyAlignment="1">
      <alignment horizontal="center" vertical="center" wrapText="1"/>
    </xf>
    <xf numFmtId="2" fontId="4" fillId="0" borderId="38" xfId="1" applyNumberFormat="1" applyFont="1" applyBorder="1" applyAlignment="1">
      <alignment horizontal="center" vertical="center" wrapText="1"/>
    </xf>
    <xf numFmtId="2" fontId="4" fillId="0" borderId="20" xfId="1" applyNumberFormat="1" applyFont="1" applyBorder="1" applyAlignment="1">
      <alignment horizontal="center" vertical="center" wrapText="1"/>
    </xf>
    <xf numFmtId="0" fontId="4" fillId="0" borderId="35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5" fillId="0" borderId="0" xfId="1" applyFont="1" applyAlignment="1">
      <alignment horizontal="left" wrapText="1"/>
    </xf>
    <xf numFmtId="0" fontId="2" fillId="0" borderId="0" xfId="1" applyFont="1" applyAlignment="1">
      <alignment horizontal="center"/>
    </xf>
    <xf numFmtId="0" fontId="11" fillId="0" borderId="10" xfId="1" applyFont="1" applyBorder="1" applyAlignment="1">
      <alignment horizontal="center" vertical="center" wrapText="1"/>
    </xf>
    <xf numFmtId="0" fontId="11" fillId="0" borderId="14" xfId="1" applyFont="1" applyBorder="1" applyAlignment="1">
      <alignment horizontal="center" vertical="center" wrapText="1"/>
    </xf>
    <xf numFmtId="0" fontId="11" fillId="0" borderId="11" xfId="1" applyFont="1" applyBorder="1" applyAlignment="1">
      <alignment horizontal="center" vertical="center" wrapText="1"/>
    </xf>
    <xf numFmtId="0" fontId="11" fillId="0" borderId="6" xfId="1" applyFont="1" applyBorder="1" applyAlignment="1">
      <alignment horizontal="center" vertical="center" wrapText="1"/>
    </xf>
    <xf numFmtId="0" fontId="11" fillId="0" borderId="23" xfId="1" applyFont="1" applyBorder="1" applyAlignment="1">
      <alignment horizontal="center" vertical="center" wrapText="1"/>
    </xf>
    <xf numFmtId="0" fontId="11" fillId="0" borderId="24" xfId="1" applyFont="1" applyBorder="1" applyAlignment="1">
      <alignment horizontal="center" vertical="center" wrapText="1"/>
    </xf>
    <xf numFmtId="0" fontId="11" fillId="0" borderId="4" xfId="1" applyFont="1" applyBorder="1" applyAlignment="1">
      <alignment horizontal="center" vertical="center" wrapText="1"/>
    </xf>
    <xf numFmtId="0" fontId="11" fillId="0" borderId="5" xfId="1" applyFont="1" applyBorder="1" applyAlignment="1">
      <alignment horizontal="center" vertical="center" wrapText="1"/>
    </xf>
    <xf numFmtId="0" fontId="11" fillId="0" borderId="25" xfId="1" applyFont="1" applyBorder="1" applyAlignment="1">
      <alignment horizontal="center" vertical="center" wrapText="1"/>
    </xf>
    <xf numFmtId="0" fontId="11" fillId="0" borderId="9" xfId="1" applyFont="1" applyBorder="1" applyAlignment="1">
      <alignment horizontal="center" vertical="center" wrapText="1"/>
    </xf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12" fillId="0" borderId="16" xfId="1" applyFont="1" applyBorder="1" applyAlignment="1">
      <alignment horizontal="center" vertical="center"/>
    </xf>
    <xf numFmtId="0" fontId="12" fillId="0" borderId="19" xfId="1" applyFont="1" applyBorder="1" applyAlignment="1">
      <alignment horizontal="center" vertical="center"/>
    </xf>
    <xf numFmtId="0" fontId="12" fillId="0" borderId="22" xfId="1" applyFont="1" applyBorder="1" applyAlignment="1">
      <alignment horizontal="center" vertical="center"/>
    </xf>
    <xf numFmtId="2" fontId="4" fillId="0" borderId="22" xfId="1" applyNumberFormat="1" applyFont="1" applyBorder="1" applyAlignment="1">
      <alignment horizontal="center" vertical="center" wrapText="1"/>
    </xf>
    <xf numFmtId="0" fontId="13" fillId="0" borderId="6" xfId="1" applyFont="1" applyBorder="1" applyAlignment="1">
      <alignment horizontal="center" vertical="center" wrapText="1"/>
    </xf>
    <xf numFmtId="0" fontId="13" fillId="0" borderId="28" xfId="1" applyFont="1" applyBorder="1" applyAlignment="1">
      <alignment horizontal="center" vertical="center" wrapText="1"/>
    </xf>
    <xf numFmtId="0" fontId="13" fillId="0" borderId="16" xfId="1" applyFont="1" applyBorder="1" applyAlignment="1">
      <alignment horizontal="center" vertical="center" wrapText="1"/>
    </xf>
    <xf numFmtId="2" fontId="4" fillId="0" borderId="2" xfId="1" applyNumberFormat="1" applyFont="1" applyBorder="1" applyAlignment="1">
      <alignment horizontal="center" vertical="center" wrapText="1"/>
    </xf>
    <xf numFmtId="2" fontId="4" fillId="0" borderId="3" xfId="1" applyNumberFormat="1" applyFont="1" applyBorder="1" applyAlignment="1">
      <alignment horizontal="center" vertical="center" wrapText="1"/>
    </xf>
    <xf numFmtId="0" fontId="4" fillId="0" borderId="32" xfId="1" applyFont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37" xfId="1" applyFont="1" applyBorder="1" applyAlignment="1">
      <alignment horizontal="center" vertical="center" wrapText="1"/>
    </xf>
    <xf numFmtId="0" fontId="4" fillId="0" borderId="34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0" fontId="6" fillId="0" borderId="26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10" fontId="4" fillId="0" borderId="2" xfId="1" applyNumberFormat="1" applyFont="1" applyBorder="1" applyAlignment="1">
      <alignment horizontal="center" vertical="center" wrapText="1"/>
    </xf>
    <xf numFmtId="10" fontId="4" fillId="0" borderId="6" xfId="1" applyNumberFormat="1" applyFont="1" applyBorder="1" applyAlignment="1">
      <alignment horizontal="center" vertical="center" wrapText="1"/>
    </xf>
    <xf numFmtId="10" fontId="4" fillId="0" borderId="3" xfId="1" applyNumberFormat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5" fillId="2" borderId="31" xfId="1" applyFont="1" applyFill="1" applyBorder="1" applyAlignment="1">
      <alignment horizontal="center" vertical="center" wrapText="1"/>
    </xf>
    <xf numFmtId="0" fontId="5" fillId="2" borderId="26" xfId="1" applyFont="1" applyFill="1" applyBorder="1" applyAlignment="1">
      <alignment horizontal="center" vertical="center" wrapText="1"/>
    </xf>
    <xf numFmtId="0" fontId="6" fillId="0" borderId="30" xfId="1" applyFont="1" applyBorder="1" applyAlignment="1">
      <alignment horizontal="center" vertical="center" wrapText="1"/>
    </xf>
    <xf numFmtId="0" fontId="4" fillId="0" borderId="0" xfId="1" applyFont="1" applyAlignment="1">
      <alignment horizontal="left"/>
    </xf>
    <xf numFmtId="0" fontId="9" fillId="0" borderId="0" xfId="1" applyFont="1" applyAlignment="1">
      <alignment horizontal="center"/>
    </xf>
    <xf numFmtId="0" fontId="11" fillId="0" borderId="1" xfId="1" applyFont="1" applyBorder="1" applyAlignment="1">
      <alignment horizontal="center" vertical="center" wrapText="1"/>
    </xf>
    <xf numFmtId="0" fontId="11" fillId="0" borderId="35" xfId="1" applyFont="1" applyBorder="1" applyAlignment="1">
      <alignment horizontal="center" vertical="center" wrapText="1"/>
    </xf>
    <xf numFmtId="0" fontId="11" fillId="0" borderId="36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2" fontId="4" fillId="0" borderId="1" xfId="1" applyNumberFormat="1" applyFont="1" applyBorder="1" applyAlignment="1">
      <alignment horizontal="center" vertical="center" wrapText="1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45904</xdr:colOff>
      <xdr:row>1</xdr:row>
      <xdr:rowOff>0</xdr:rowOff>
    </xdr:from>
    <xdr:to>
      <xdr:col>2</xdr:col>
      <xdr:colOff>559556</xdr:colOff>
      <xdr:row>7</xdr:row>
      <xdr:rowOff>137710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786225-3C29-464A-9068-728C90BDB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04" y="47625"/>
          <a:ext cx="2199577" cy="97591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523875</xdr:colOff>
          <xdr:row>14</xdr:row>
          <xdr:rowOff>76200</xdr:rowOff>
        </xdr:from>
        <xdr:to>
          <xdr:col>17</xdr:col>
          <xdr:colOff>85725</xdr:colOff>
          <xdr:row>17</xdr:row>
          <xdr:rowOff>95250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Adaugare/Scadere din baza de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252474</xdr:colOff>
          <xdr:row>19</xdr:row>
          <xdr:rowOff>80405</xdr:rowOff>
        </xdr:from>
        <xdr:to>
          <xdr:col>16</xdr:col>
          <xdr:colOff>404874</xdr:colOff>
          <xdr:row>22</xdr:row>
          <xdr:rowOff>83745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Vizualizare export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64"/>
  <sheetViews>
    <sheetView tabSelected="1" topLeftCell="A13" zoomScale="154" zoomScaleNormal="154" zoomScaleSheetLayoutView="124" workbookViewId="0">
      <selection activeCell="O24" sqref="O24"/>
    </sheetView>
  </sheetViews>
  <sheetFormatPr defaultColWidth="9" defaultRowHeight="12.75" x14ac:dyDescent="0.2"/>
  <cols>
    <col min="1" max="1" width="3.5703125" style="2" customWidth="1"/>
    <col min="2" max="2" width="21.7109375" style="2" customWidth="1"/>
    <col min="3" max="3" width="8.42578125" style="2" customWidth="1"/>
    <col min="4" max="8" width="7.85546875" style="2" customWidth="1"/>
    <col min="9" max="9" width="25.7109375" style="2" customWidth="1"/>
    <col min="10" max="11" width="7.85546875" style="2" customWidth="1"/>
    <col min="12" max="12" width="9" style="2" customWidth="1"/>
    <col min="13" max="14" width="7.85546875" style="2" customWidth="1"/>
    <col min="15" max="15" width="9" style="2"/>
    <col min="16" max="16" width="9.28515625" style="2" customWidth="1"/>
    <col min="17" max="17" width="10.140625" style="2" customWidth="1"/>
    <col min="18" max="18" width="14.85546875" style="2" customWidth="1"/>
    <col min="19" max="20" width="9" style="2"/>
    <col min="21" max="21" width="8.42578125" style="2" customWidth="1"/>
    <col min="22" max="16384" width="9" style="2"/>
  </cols>
  <sheetData>
    <row r="1" spans="1:23" ht="3.75" customHeight="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23" ht="11.25" customHeight="1" x14ac:dyDescent="0.2">
      <c r="A2" s="9"/>
      <c r="B2" s="9"/>
      <c r="C2" s="9"/>
      <c r="D2" s="92" t="s">
        <v>45</v>
      </c>
      <c r="E2" s="92"/>
      <c r="F2" s="92"/>
      <c r="G2" s="92"/>
      <c r="H2" s="8"/>
      <c r="I2" s="8"/>
      <c r="J2" s="8"/>
      <c r="K2" s="8"/>
      <c r="L2" s="8"/>
      <c r="M2" s="9"/>
      <c r="N2" s="9"/>
      <c r="O2" s="9"/>
      <c r="P2" s="9"/>
      <c r="Q2" s="9"/>
      <c r="R2" s="9"/>
      <c r="S2" s="9"/>
      <c r="T2" s="9"/>
      <c r="U2" s="9"/>
      <c r="V2" s="9"/>
    </row>
    <row r="3" spans="1:23" ht="9.75" customHeight="1" x14ac:dyDescent="0.2">
      <c r="A3" s="9"/>
      <c r="B3" s="9"/>
      <c r="C3" s="9"/>
      <c r="D3" s="92"/>
      <c r="E3" s="92"/>
      <c r="F3" s="92"/>
      <c r="G3" s="92"/>
      <c r="H3" s="8"/>
      <c r="I3" s="8"/>
      <c r="J3" s="8"/>
      <c r="K3" s="8"/>
      <c r="L3" s="8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3" ht="9" customHeight="1" x14ac:dyDescent="0.2">
      <c r="A4" s="9"/>
      <c r="B4" s="9"/>
      <c r="C4" s="10"/>
      <c r="D4" s="92"/>
      <c r="E4" s="92"/>
      <c r="F4" s="92"/>
      <c r="G4" s="92"/>
      <c r="H4" s="8"/>
      <c r="I4" s="8"/>
      <c r="J4" s="8"/>
      <c r="K4" s="8"/>
      <c r="L4" s="8"/>
      <c r="M4" s="9"/>
      <c r="N4" s="9"/>
      <c r="O4" s="10"/>
      <c r="P4" s="10"/>
      <c r="Q4" s="10"/>
      <c r="R4" s="10"/>
      <c r="S4" s="10"/>
      <c r="T4" s="10"/>
      <c r="U4" s="10"/>
      <c r="V4" s="10"/>
    </row>
    <row r="5" spans="1:23" ht="10.5" customHeight="1" x14ac:dyDescent="0.2">
      <c r="A5" s="9"/>
      <c r="B5" s="9"/>
      <c r="C5" s="9"/>
      <c r="D5" s="92"/>
      <c r="E5" s="92"/>
      <c r="F5" s="92"/>
      <c r="G5" s="92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3" x14ac:dyDescent="0.2">
      <c r="A6" s="8"/>
      <c r="B6" s="9"/>
      <c r="C6" s="9"/>
      <c r="D6" s="92"/>
      <c r="E6" s="92"/>
      <c r="F6" s="92"/>
      <c r="G6" s="92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23" x14ac:dyDescent="0.2">
      <c r="A7" s="8"/>
      <c r="B7" s="9"/>
      <c r="C7" s="9"/>
      <c r="D7" s="92"/>
      <c r="E7" s="92"/>
      <c r="F7" s="92"/>
      <c r="G7" s="92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23" x14ac:dyDescent="0.2">
      <c r="A8" s="8"/>
      <c r="B8" s="9"/>
      <c r="C8" s="9"/>
      <c r="D8" s="92"/>
      <c r="E8" s="92"/>
      <c r="F8" s="92"/>
      <c r="G8" s="92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9" spans="1:23" x14ac:dyDescent="0.2">
      <c r="A9" s="8"/>
      <c r="B9" s="9"/>
      <c r="C9" s="9"/>
      <c r="D9" s="92"/>
      <c r="E9" s="92"/>
      <c r="F9" s="92"/>
      <c r="G9" s="92"/>
      <c r="H9" s="9"/>
      <c r="I9" s="9"/>
      <c r="J9" s="9"/>
      <c r="K9" s="9"/>
      <c r="L9" s="9"/>
      <c r="M9" s="9"/>
      <c r="N9" s="9"/>
      <c r="O9" s="9"/>
      <c r="P9" s="9"/>
      <c r="Q9" s="9"/>
      <c r="R9" s="9"/>
    </row>
    <row r="10" spans="1:23" x14ac:dyDescent="0.2">
      <c r="A10" s="8"/>
      <c r="B10" s="9"/>
      <c r="C10" s="9"/>
      <c r="D10" s="27"/>
      <c r="E10" s="27"/>
      <c r="F10" s="27"/>
      <c r="G10" s="27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</row>
    <row r="11" spans="1:23" ht="15.75" x14ac:dyDescent="0.25">
      <c r="A11" s="93" t="s">
        <v>49</v>
      </c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13"/>
      <c r="Q11" s="13"/>
      <c r="R11" s="13"/>
      <c r="S11" s="13"/>
      <c r="T11" s="13"/>
      <c r="U11" s="13"/>
      <c r="V11" s="13"/>
      <c r="W11" s="13"/>
    </row>
    <row r="12" spans="1:23" ht="15.75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13"/>
      <c r="Q12" s="13"/>
      <c r="R12" s="13"/>
      <c r="S12" s="13"/>
      <c r="T12" s="13"/>
      <c r="U12" s="13"/>
      <c r="V12" s="13"/>
      <c r="W12" s="13"/>
    </row>
    <row r="13" spans="1:23" ht="15.75" x14ac:dyDescent="0.25">
      <c r="A13" s="13" t="s">
        <v>31</v>
      </c>
      <c r="B13" s="13"/>
      <c r="C13" s="13"/>
      <c r="D13" s="13"/>
      <c r="E13" s="13"/>
      <c r="F13" s="13"/>
      <c r="G13" s="13"/>
      <c r="H13" s="13"/>
      <c r="I13" s="13"/>
      <c r="J13" s="13"/>
      <c r="K13" s="31"/>
      <c r="L13" s="31"/>
      <c r="M13" s="31"/>
      <c r="N13" s="31"/>
      <c r="O13" s="31"/>
      <c r="P13" s="13"/>
      <c r="Q13" s="13"/>
      <c r="R13" s="13"/>
      <c r="S13" s="13"/>
      <c r="T13" s="13"/>
      <c r="U13" s="13"/>
      <c r="V13" s="13"/>
      <c r="W13" s="13"/>
    </row>
    <row r="14" spans="1:23" ht="16.5" thickBot="1" x14ac:dyDescent="0.3">
      <c r="A14" s="1"/>
    </row>
    <row r="15" spans="1:23" ht="12.75" customHeight="1" x14ac:dyDescent="0.2">
      <c r="A15" s="94" t="s">
        <v>0</v>
      </c>
      <c r="B15" s="96" t="s">
        <v>10</v>
      </c>
      <c r="C15" s="98" t="s">
        <v>12</v>
      </c>
      <c r="D15" s="99"/>
      <c r="E15" s="98" t="s">
        <v>13</v>
      </c>
      <c r="F15" s="99"/>
      <c r="G15" s="98" t="s">
        <v>18</v>
      </c>
      <c r="H15" s="99"/>
      <c r="I15" s="98" t="s">
        <v>24</v>
      </c>
      <c r="J15" s="102"/>
      <c r="K15" s="99"/>
      <c r="L15" s="104" t="s">
        <v>1</v>
      </c>
      <c r="M15" s="104"/>
      <c r="N15" s="105"/>
    </row>
    <row r="16" spans="1:23" ht="18" customHeight="1" x14ac:dyDescent="0.2">
      <c r="A16" s="95"/>
      <c r="B16" s="97"/>
      <c r="C16" s="100"/>
      <c r="D16" s="101"/>
      <c r="E16" s="100"/>
      <c r="F16" s="101"/>
      <c r="G16" s="100"/>
      <c r="H16" s="101"/>
      <c r="I16" s="100"/>
      <c r="J16" s="103"/>
      <c r="K16" s="101"/>
      <c r="L16" s="106" t="s">
        <v>2</v>
      </c>
      <c r="M16" s="106" t="s">
        <v>3</v>
      </c>
      <c r="N16" s="108" t="s">
        <v>4</v>
      </c>
    </row>
    <row r="17" spans="1:17" ht="18" customHeight="1" thickBot="1" x14ac:dyDescent="0.25">
      <c r="A17" s="95"/>
      <c r="B17" s="97"/>
      <c r="C17" s="32" t="s">
        <v>14</v>
      </c>
      <c r="D17" s="32" t="s">
        <v>15</v>
      </c>
      <c r="E17" s="32" t="s">
        <v>14</v>
      </c>
      <c r="F17" s="32" t="s">
        <v>15</v>
      </c>
      <c r="G17" s="32" t="s">
        <v>14</v>
      </c>
      <c r="H17" s="25" t="s">
        <v>19</v>
      </c>
      <c r="I17" s="25" t="s">
        <v>25</v>
      </c>
      <c r="J17" s="32" t="s">
        <v>14</v>
      </c>
      <c r="K17" s="25" t="s">
        <v>19</v>
      </c>
      <c r="L17" s="107"/>
      <c r="M17" s="107"/>
      <c r="N17" s="109"/>
    </row>
    <row r="18" spans="1:17" ht="10.5" customHeight="1" x14ac:dyDescent="0.2">
      <c r="A18" s="56">
        <v>1</v>
      </c>
      <c r="B18" s="59" t="s">
        <v>20</v>
      </c>
      <c r="C18" s="62"/>
      <c r="D18" s="65"/>
      <c r="E18" s="50"/>
      <c r="F18" s="37"/>
      <c r="G18" s="69">
        <f>SUM(E18:E22)</f>
        <v>0</v>
      </c>
      <c r="H18" s="72" t="e">
        <f>(G18/E33)*100</f>
        <v>#DIV/0!</v>
      </c>
      <c r="I18" s="59" t="s">
        <v>40</v>
      </c>
      <c r="J18" s="59"/>
      <c r="K18" s="89" t="e">
        <f>(J18/G33)*100</f>
        <v>#DIV/0!</v>
      </c>
      <c r="L18" s="83" t="s">
        <v>5</v>
      </c>
      <c r="M18" s="75" t="s">
        <v>5</v>
      </c>
      <c r="N18" s="78" t="s">
        <v>5</v>
      </c>
    </row>
    <row r="19" spans="1:17" ht="10.5" customHeight="1" x14ac:dyDescent="0.2">
      <c r="A19" s="57"/>
      <c r="B19" s="60"/>
      <c r="C19" s="63"/>
      <c r="D19" s="66"/>
      <c r="E19" s="55"/>
      <c r="F19" s="46"/>
      <c r="G19" s="70"/>
      <c r="H19" s="73"/>
      <c r="I19" s="86"/>
      <c r="J19" s="86"/>
      <c r="K19" s="88"/>
      <c r="L19" s="84"/>
      <c r="M19" s="76"/>
      <c r="N19" s="79"/>
    </row>
    <row r="20" spans="1:17" ht="10.5" customHeight="1" x14ac:dyDescent="0.25">
      <c r="A20" s="57"/>
      <c r="B20" s="60"/>
      <c r="C20" s="63"/>
      <c r="D20" s="67"/>
      <c r="E20" s="53"/>
      <c r="F20" s="29"/>
      <c r="G20" s="70"/>
      <c r="H20" s="73"/>
      <c r="I20" s="67" t="s">
        <v>36</v>
      </c>
      <c r="J20" s="90"/>
      <c r="K20" s="87" t="e">
        <f>(J20/G33)*100</f>
        <v>#DIV/0!</v>
      </c>
      <c r="L20" s="84"/>
      <c r="M20" s="76"/>
      <c r="N20" s="79"/>
      <c r="P20"/>
      <c r="Q20"/>
    </row>
    <row r="21" spans="1:17" ht="10.5" customHeight="1" x14ac:dyDescent="0.25">
      <c r="A21" s="57"/>
      <c r="B21" s="60"/>
      <c r="C21" s="63"/>
      <c r="D21" s="67"/>
      <c r="E21" s="53"/>
      <c r="F21" s="29"/>
      <c r="G21" s="70"/>
      <c r="H21" s="73"/>
      <c r="I21" s="86"/>
      <c r="J21" s="91"/>
      <c r="K21" s="88"/>
      <c r="L21" s="84"/>
      <c r="M21" s="76"/>
      <c r="N21" s="79"/>
      <c r="P21"/>
      <c r="Q21"/>
    </row>
    <row r="22" spans="1:17" ht="12.75" customHeight="1" thickBot="1" x14ac:dyDescent="0.3">
      <c r="A22" s="58"/>
      <c r="B22" s="61"/>
      <c r="C22" s="64"/>
      <c r="D22" s="68"/>
      <c r="E22" s="51"/>
      <c r="F22" s="46"/>
      <c r="G22" s="71"/>
      <c r="H22" s="74"/>
      <c r="I22" s="18" t="s">
        <v>32</v>
      </c>
      <c r="J22" s="81">
        <f>SUM(J18:J21)</f>
        <v>0</v>
      </c>
      <c r="K22" s="82"/>
      <c r="L22" s="84"/>
      <c r="M22" s="76"/>
      <c r="N22" s="79"/>
      <c r="P22"/>
      <c r="Q22"/>
    </row>
    <row r="23" spans="1:17" ht="10.5" customHeight="1" x14ac:dyDescent="0.25">
      <c r="A23" s="116">
        <v>2</v>
      </c>
      <c r="B23" s="69" t="s">
        <v>21</v>
      </c>
      <c r="C23" s="62"/>
      <c r="D23" s="65"/>
      <c r="E23" s="50"/>
      <c r="F23" s="48"/>
      <c r="G23" s="120">
        <f>SUM(E23:E27)</f>
        <v>0</v>
      </c>
      <c r="H23" s="72" t="e">
        <f>(G23/E33)*100</f>
        <v>#DIV/0!</v>
      </c>
      <c r="I23" s="59" t="s">
        <v>39</v>
      </c>
      <c r="J23" s="59"/>
      <c r="K23" s="89" t="e">
        <f>(J23/G33)*100</f>
        <v>#DIV/0!</v>
      </c>
      <c r="L23" s="84"/>
      <c r="M23" s="76"/>
      <c r="N23" s="79"/>
      <c r="P23"/>
      <c r="Q23"/>
    </row>
    <row r="24" spans="1:17" ht="10.5" customHeight="1" x14ac:dyDescent="0.25">
      <c r="A24" s="117"/>
      <c r="B24" s="70"/>
      <c r="C24" s="63"/>
      <c r="D24" s="66"/>
      <c r="E24" s="53"/>
      <c r="F24" s="47"/>
      <c r="G24" s="121"/>
      <c r="H24" s="73"/>
      <c r="I24" s="86"/>
      <c r="J24" s="86"/>
      <c r="K24" s="88"/>
      <c r="L24" s="84"/>
      <c r="M24" s="76"/>
      <c r="N24" s="79"/>
      <c r="P24"/>
      <c r="Q24"/>
    </row>
    <row r="25" spans="1:17" ht="10.5" customHeight="1" x14ac:dyDescent="0.25">
      <c r="A25" s="118"/>
      <c r="B25" s="70"/>
      <c r="C25" s="63"/>
      <c r="D25" s="67"/>
      <c r="E25" s="53"/>
      <c r="F25" s="47"/>
      <c r="G25" s="121"/>
      <c r="H25" s="73"/>
      <c r="I25" s="67" t="s">
        <v>36</v>
      </c>
      <c r="J25" s="90"/>
      <c r="K25" s="87" t="e">
        <f>(J25/G33)*100</f>
        <v>#DIV/0!</v>
      </c>
      <c r="L25" s="84"/>
      <c r="M25" s="76"/>
      <c r="N25" s="79"/>
      <c r="P25"/>
      <c r="Q25"/>
    </row>
    <row r="26" spans="1:17" ht="10.5" customHeight="1" x14ac:dyDescent="0.2">
      <c r="A26" s="118"/>
      <c r="B26" s="70"/>
      <c r="C26" s="63"/>
      <c r="D26" s="67"/>
      <c r="E26" s="53"/>
      <c r="F26" s="47"/>
      <c r="G26" s="121"/>
      <c r="H26" s="73"/>
      <c r="I26" s="86"/>
      <c r="J26" s="91"/>
      <c r="K26" s="88"/>
      <c r="L26" s="84"/>
      <c r="M26" s="76"/>
      <c r="N26" s="79"/>
    </row>
    <row r="27" spans="1:17" ht="12" customHeight="1" thickBot="1" x14ac:dyDescent="0.25">
      <c r="A27" s="119"/>
      <c r="B27" s="71"/>
      <c r="C27" s="64"/>
      <c r="D27" s="68"/>
      <c r="E27" s="51"/>
      <c r="F27" s="49"/>
      <c r="G27" s="122"/>
      <c r="H27" s="74"/>
      <c r="I27" s="18" t="s">
        <v>32</v>
      </c>
      <c r="J27" s="81">
        <f>SUM(J23:J26)</f>
        <v>0</v>
      </c>
      <c r="K27" s="82"/>
      <c r="L27" s="84"/>
      <c r="M27" s="76"/>
      <c r="N27" s="79"/>
    </row>
    <row r="28" spans="1:17" ht="10.5" customHeight="1" x14ac:dyDescent="0.2">
      <c r="A28" s="57">
        <v>3</v>
      </c>
      <c r="B28" s="60" t="s">
        <v>22</v>
      </c>
      <c r="C28" s="132"/>
      <c r="D28" s="65"/>
      <c r="E28" s="52"/>
      <c r="F28" s="33"/>
      <c r="G28" s="111">
        <f>SUM(E28:E32)</f>
        <v>0</v>
      </c>
      <c r="H28" s="73" t="e">
        <f>(G28/E33)*100</f>
        <v>#DIV/0!</v>
      </c>
      <c r="I28" s="59" t="s">
        <v>46</v>
      </c>
      <c r="J28" s="59"/>
      <c r="K28" s="89" t="e">
        <f>(J28/G33)*100</f>
        <v>#DIV/0!</v>
      </c>
      <c r="L28" s="84"/>
      <c r="M28" s="76"/>
      <c r="N28" s="79"/>
    </row>
    <row r="29" spans="1:17" ht="10.5" customHeight="1" thickBot="1" x14ac:dyDescent="0.25">
      <c r="A29" s="57"/>
      <c r="B29" s="60"/>
      <c r="C29" s="132"/>
      <c r="D29" s="86"/>
      <c r="E29" s="54"/>
      <c r="F29" s="45"/>
      <c r="G29" s="112"/>
      <c r="H29" s="73"/>
      <c r="I29" s="60"/>
      <c r="J29" s="86"/>
      <c r="K29" s="110"/>
      <c r="L29" s="84"/>
      <c r="M29" s="76"/>
      <c r="N29" s="79"/>
    </row>
    <row r="30" spans="1:17" ht="10.5" customHeight="1" x14ac:dyDescent="0.2">
      <c r="A30" s="57"/>
      <c r="B30" s="60"/>
      <c r="C30" s="132"/>
      <c r="D30" s="86"/>
      <c r="E30" s="54"/>
      <c r="F30" s="45"/>
      <c r="G30" s="112"/>
      <c r="H30" s="73"/>
      <c r="I30" s="60" t="s">
        <v>36</v>
      </c>
      <c r="J30" s="67"/>
      <c r="K30" s="89" t="e">
        <f>(J30/G33)*100</f>
        <v>#DIV/0!</v>
      </c>
      <c r="L30" s="84"/>
      <c r="M30" s="76"/>
      <c r="N30" s="79"/>
    </row>
    <row r="31" spans="1:17" ht="10.5" customHeight="1" thickBot="1" x14ac:dyDescent="0.3">
      <c r="A31" s="57"/>
      <c r="B31" s="60"/>
      <c r="C31" s="132"/>
      <c r="D31" s="66"/>
      <c r="E31" s="54"/>
      <c r="F31" s="45"/>
      <c r="G31" s="112"/>
      <c r="H31" s="73"/>
      <c r="I31" s="86"/>
      <c r="J31" s="86"/>
      <c r="K31" s="110"/>
      <c r="L31" s="84"/>
      <c r="M31" s="76"/>
      <c r="N31" s="79"/>
      <c r="P31"/>
      <c r="Q31"/>
    </row>
    <row r="32" spans="1:17" ht="13.5" customHeight="1" thickBot="1" x14ac:dyDescent="0.3">
      <c r="A32" s="58"/>
      <c r="B32" s="61"/>
      <c r="C32" s="133"/>
      <c r="D32" s="68"/>
      <c r="E32" s="20"/>
      <c r="F32" s="34"/>
      <c r="G32" s="113"/>
      <c r="H32" s="74"/>
      <c r="I32" s="19" t="s">
        <v>32</v>
      </c>
      <c r="J32" s="123">
        <f>SUM(J28:J31)</f>
        <v>0</v>
      </c>
      <c r="K32" s="134"/>
      <c r="L32" s="85"/>
      <c r="M32" s="77"/>
      <c r="N32" s="80"/>
      <c r="P32"/>
      <c r="Q32"/>
    </row>
    <row r="33" spans="1:23" ht="14.25" customHeight="1" thickBot="1" x14ac:dyDescent="0.3">
      <c r="A33" s="23"/>
      <c r="B33" s="19"/>
      <c r="C33" s="24">
        <f>SUM(C18:C32)</f>
        <v>0</v>
      </c>
      <c r="D33" s="20"/>
      <c r="E33" s="24">
        <f>SUM(E18:E32)</f>
        <v>0</v>
      </c>
      <c r="F33" s="19"/>
      <c r="G33" s="19">
        <f>SUM(G18:G32)</f>
        <v>0</v>
      </c>
      <c r="H33" s="19"/>
      <c r="I33" s="19"/>
      <c r="J33" s="123">
        <f>SUM(J22+J27+J32)</f>
        <v>0</v>
      </c>
      <c r="K33" s="124"/>
      <c r="L33" s="21"/>
      <c r="M33" s="21"/>
      <c r="N33" s="22"/>
      <c r="P33"/>
      <c r="Q33"/>
    </row>
    <row r="34" spans="1:23" ht="15" x14ac:dyDescent="0.25">
      <c r="A34" s="5" t="s">
        <v>6</v>
      </c>
      <c r="B34" s="5"/>
      <c r="C34" s="5"/>
      <c r="D34" s="5" t="s">
        <v>11</v>
      </c>
      <c r="E34" s="5"/>
      <c r="F34" s="5"/>
      <c r="G34" s="5" t="s">
        <v>7</v>
      </c>
      <c r="H34" s="5"/>
      <c r="I34" s="5"/>
      <c r="J34" s="5"/>
      <c r="K34" s="5"/>
      <c r="L34" s="5"/>
      <c r="M34" s="5"/>
      <c r="N34" s="5"/>
      <c r="O34" s="5"/>
      <c r="P34"/>
      <c r="Q34"/>
      <c r="R34" s="5"/>
      <c r="T34" s="6"/>
      <c r="U34" s="6"/>
      <c r="V34" s="7"/>
      <c r="W34" s="7"/>
    </row>
    <row r="35" spans="1:23" ht="15" x14ac:dyDescent="0.25">
      <c r="A35" s="8"/>
      <c r="P35"/>
      <c r="Q35"/>
    </row>
    <row r="36" spans="1:23" ht="31.5" x14ac:dyDescent="0.25">
      <c r="A36" s="14" t="s">
        <v>0</v>
      </c>
      <c r="B36" s="14" t="s">
        <v>8</v>
      </c>
      <c r="C36" s="14" t="s">
        <v>29</v>
      </c>
      <c r="D36" s="14" t="s">
        <v>28</v>
      </c>
      <c r="E36" s="125" t="s">
        <v>23</v>
      </c>
      <c r="F36" s="126"/>
      <c r="G36" s="38" t="s">
        <v>33</v>
      </c>
      <c r="H36" s="14" t="s">
        <v>28</v>
      </c>
      <c r="P36"/>
      <c r="Q36"/>
    </row>
    <row r="37" spans="1:23" ht="15" customHeight="1" x14ac:dyDescent="0.25">
      <c r="A37" s="67">
        <v>1</v>
      </c>
      <c r="B37" s="67" t="s">
        <v>36</v>
      </c>
      <c r="C37" s="67">
        <f>SUM(J20+J30+J25)</f>
        <v>0</v>
      </c>
      <c r="D37" s="127" t="e">
        <f>C37:C37/J33</f>
        <v>#DIV/0!</v>
      </c>
      <c r="E37" s="130" t="s">
        <v>26</v>
      </c>
      <c r="F37" s="131"/>
      <c r="G37" s="39">
        <v>8</v>
      </c>
      <c r="H37" s="44" t="e">
        <f>(G37/C37)*100</f>
        <v>#DIV/0!</v>
      </c>
      <c r="P37"/>
      <c r="Q37"/>
    </row>
    <row r="38" spans="1:23" ht="15" x14ac:dyDescent="0.25">
      <c r="A38" s="60"/>
      <c r="B38" s="60"/>
      <c r="C38" s="60"/>
      <c r="D38" s="128"/>
      <c r="E38" s="130" t="s">
        <v>37</v>
      </c>
      <c r="F38" s="131"/>
      <c r="G38" s="39">
        <v>2</v>
      </c>
      <c r="H38" s="44" t="e">
        <f>(G38/C37)*100</f>
        <v>#DIV/0!</v>
      </c>
      <c r="P38"/>
      <c r="Q38"/>
    </row>
    <row r="39" spans="1:23" ht="15" x14ac:dyDescent="0.25">
      <c r="A39" s="60"/>
      <c r="B39" s="60"/>
      <c r="C39" s="60"/>
      <c r="D39" s="128"/>
      <c r="E39" s="130" t="s">
        <v>41</v>
      </c>
      <c r="F39" s="131"/>
      <c r="G39" s="39"/>
      <c r="H39" s="44" t="e">
        <f>(G39/C37)*100</f>
        <v>#DIV/0!</v>
      </c>
      <c r="P39"/>
      <c r="Q39"/>
    </row>
    <row r="40" spans="1:23" x14ac:dyDescent="0.2">
      <c r="A40" s="86"/>
      <c r="B40" s="86"/>
      <c r="C40" s="86"/>
      <c r="D40" s="129"/>
      <c r="E40" s="130" t="s">
        <v>27</v>
      </c>
      <c r="F40" s="131"/>
      <c r="G40" s="39">
        <v>3.2</v>
      </c>
      <c r="H40" s="44" t="e">
        <f>(G40/C37)*100</f>
        <v>#DIV/0!</v>
      </c>
    </row>
    <row r="41" spans="1:23" x14ac:dyDescent="0.2">
      <c r="A41" s="8"/>
      <c r="E41" s="125" t="s">
        <v>34</v>
      </c>
      <c r="F41" s="126"/>
      <c r="G41" s="16">
        <f>SUM(G37:G40)</f>
        <v>13.2</v>
      </c>
      <c r="H41" s="15"/>
    </row>
    <row r="42" spans="1:23" x14ac:dyDescent="0.2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40"/>
      <c r="S42" s="2" t="s">
        <v>9</v>
      </c>
    </row>
    <row r="43" spans="1:23" ht="15.75" x14ac:dyDescent="0.25">
      <c r="A43" s="136" t="s">
        <v>30</v>
      </c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"/>
      <c r="Q43" s="13"/>
      <c r="R43" s="13"/>
      <c r="S43" s="13"/>
      <c r="T43" s="13"/>
      <c r="U43" s="13"/>
      <c r="V43" s="13"/>
      <c r="W43" s="13"/>
    </row>
    <row r="44" spans="1:23" ht="15.75" x14ac:dyDescent="0.25">
      <c r="A44" s="4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13"/>
      <c r="Q44" s="13"/>
      <c r="R44" s="13"/>
      <c r="S44" s="13"/>
      <c r="T44" s="13"/>
      <c r="U44" s="13"/>
      <c r="V44" s="13"/>
      <c r="W44" s="13"/>
    </row>
    <row r="45" spans="1:23" ht="15.75" customHeight="1" x14ac:dyDescent="0.25">
      <c r="A45" s="137" t="s">
        <v>0</v>
      </c>
      <c r="B45" s="137" t="s">
        <v>10</v>
      </c>
      <c r="C45" s="137" t="s">
        <v>12</v>
      </c>
      <c r="D45" s="137"/>
      <c r="E45" s="138" t="s">
        <v>13</v>
      </c>
      <c r="F45" s="139"/>
      <c r="G45" s="137" t="s">
        <v>18</v>
      </c>
      <c r="H45" s="137"/>
      <c r="I45" s="137" t="s">
        <v>24</v>
      </c>
      <c r="J45" s="137"/>
      <c r="K45" s="137"/>
      <c r="L45" s="140" t="s">
        <v>1</v>
      </c>
      <c r="M45" s="140"/>
      <c r="N45" s="140"/>
      <c r="O45" s="31"/>
      <c r="P45" s="31"/>
      <c r="Q45" s="31"/>
      <c r="R45" s="31"/>
      <c r="S45" s="31"/>
      <c r="T45" s="31"/>
      <c r="U45" s="31"/>
      <c r="V45" s="31"/>
    </row>
    <row r="46" spans="1:23" x14ac:dyDescent="0.2">
      <c r="A46" s="137"/>
      <c r="B46" s="137"/>
      <c r="C46" s="137"/>
      <c r="D46" s="137"/>
      <c r="E46" s="100"/>
      <c r="F46" s="101"/>
      <c r="G46" s="137"/>
      <c r="H46" s="137"/>
      <c r="I46" s="137"/>
      <c r="J46" s="137"/>
      <c r="K46" s="137"/>
      <c r="L46" s="140" t="s">
        <v>2</v>
      </c>
      <c r="M46" s="140" t="s">
        <v>3</v>
      </c>
      <c r="N46" s="140" t="s">
        <v>4</v>
      </c>
      <c r="O46" s="4"/>
      <c r="P46" s="5"/>
      <c r="Q46" s="5"/>
    </row>
    <row r="47" spans="1:23" x14ac:dyDescent="0.2">
      <c r="A47" s="137"/>
      <c r="B47" s="137"/>
      <c r="C47" s="42" t="s">
        <v>14</v>
      </c>
      <c r="D47" s="17" t="s">
        <v>15</v>
      </c>
      <c r="E47" s="17" t="s">
        <v>14</v>
      </c>
      <c r="F47" s="42" t="s">
        <v>15</v>
      </c>
      <c r="G47" s="42" t="s">
        <v>14</v>
      </c>
      <c r="H47" s="14" t="s">
        <v>19</v>
      </c>
      <c r="I47" s="26" t="s">
        <v>25</v>
      </c>
      <c r="J47" s="42" t="s">
        <v>14</v>
      </c>
      <c r="K47" s="14" t="s">
        <v>19</v>
      </c>
      <c r="L47" s="140"/>
      <c r="M47" s="140"/>
      <c r="N47" s="140"/>
    </row>
    <row r="48" spans="1:23" ht="15" customHeight="1" x14ac:dyDescent="0.2">
      <c r="A48" s="67">
        <v>1</v>
      </c>
      <c r="B48" s="67" t="s">
        <v>16</v>
      </c>
      <c r="C48" s="67"/>
      <c r="D48" s="66"/>
      <c r="E48" s="54"/>
      <c r="F48" s="30"/>
      <c r="G48" s="67">
        <f>SUM(E48:E52)</f>
        <v>0</v>
      </c>
      <c r="H48" s="114" t="e">
        <f>(G48/E63)*100</f>
        <v>#DIV/0!</v>
      </c>
      <c r="I48" s="67" t="s">
        <v>38</v>
      </c>
      <c r="J48" s="67"/>
      <c r="K48" s="114" t="e">
        <f>SUM(J48/G63)*100</f>
        <v>#DIV/0!</v>
      </c>
      <c r="L48" s="141" t="s">
        <v>5</v>
      </c>
      <c r="M48" s="141" t="s">
        <v>5</v>
      </c>
      <c r="N48" s="141" t="s">
        <v>5</v>
      </c>
    </row>
    <row r="49" spans="1:15" ht="15" customHeight="1" x14ac:dyDescent="0.2">
      <c r="A49" s="60"/>
      <c r="B49" s="60"/>
      <c r="C49" s="60"/>
      <c r="D49" s="66"/>
      <c r="E49" s="54"/>
      <c r="F49" s="30"/>
      <c r="G49" s="60"/>
      <c r="H49" s="73"/>
      <c r="I49" s="86"/>
      <c r="J49" s="86"/>
      <c r="K49" s="115"/>
      <c r="L49" s="76"/>
      <c r="M49" s="76"/>
      <c r="N49" s="76"/>
    </row>
    <row r="50" spans="1:15" ht="15" customHeight="1" x14ac:dyDescent="0.2">
      <c r="A50" s="60"/>
      <c r="B50" s="60"/>
      <c r="C50" s="60"/>
      <c r="D50" s="66"/>
      <c r="E50" s="54"/>
      <c r="F50" s="30"/>
      <c r="G50" s="60"/>
      <c r="H50" s="73"/>
      <c r="I50" s="67" t="s">
        <v>42</v>
      </c>
      <c r="J50" s="67"/>
      <c r="K50" s="114" t="e">
        <f>(J50/G63)*100</f>
        <v>#DIV/0!</v>
      </c>
      <c r="L50" s="76"/>
      <c r="M50" s="76"/>
      <c r="N50" s="76"/>
    </row>
    <row r="51" spans="1:15" ht="15" customHeight="1" x14ac:dyDescent="0.2">
      <c r="A51" s="60"/>
      <c r="B51" s="60"/>
      <c r="C51" s="60"/>
      <c r="D51" s="66"/>
      <c r="E51" s="54"/>
      <c r="F51" s="30"/>
      <c r="G51" s="60"/>
      <c r="H51" s="73"/>
      <c r="I51" s="60"/>
      <c r="J51" s="60"/>
      <c r="K51" s="73"/>
      <c r="L51" s="76"/>
      <c r="M51" s="76"/>
      <c r="N51" s="76"/>
    </row>
    <row r="52" spans="1:15" ht="15" customHeight="1" x14ac:dyDescent="0.2">
      <c r="A52" s="86"/>
      <c r="B52" s="86"/>
      <c r="C52" s="86"/>
      <c r="D52" s="66"/>
      <c r="E52" s="54"/>
      <c r="F52" s="45"/>
      <c r="G52" s="86"/>
      <c r="H52" s="115"/>
      <c r="I52" s="86"/>
      <c r="J52" s="86"/>
      <c r="K52" s="115"/>
      <c r="L52" s="76"/>
      <c r="M52" s="76"/>
      <c r="N52" s="76"/>
    </row>
    <row r="53" spans="1:15" ht="15" customHeight="1" x14ac:dyDescent="0.2">
      <c r="A53" s="67">
        <v>2</v>
      </c>
      <c r="B53" s="67" t="s">
        <v>17</v>
      </c>
      <c r="C53" s="67"/>
      <c r="D53" s="66"/>
      <c r="E53" s="54"/>
      <c r="F53" s="35"/>
      <c r="G53" s="67">
        <f>SUM(E53:E57)</f>
        <v>0</v>
      </c>
      <c r="H53" s="114" t="e">
        <f>(G53/E63)*100</f>
        <v>#DIV/0!</v>
      </c>
      <c r="I53" s="35" t="s">
        <v>47</v>
      </c>
      <c r="J53" s="36"/>
      <c r="K53" s="43" t="e">
        <f>SUM(J53/G63)*100</f>
        <v>#DIV/0!</v>
      </c>
      <c r="L53" s="76"/>
      <c r="M53" s="76"/>
      <c r="N53" s="76"/>
    </row>
    <row r="54" spans="1:15" ht="15" customHeight="1" x14ac:dyDescent="0.2">
      <c r="A54" s="60"/>
      <c r="B54" s="60"/>
      <c r="C54" s="60"/>
      <c r="D54" s="66"/>
      <c r="E54" s="54"/>
      <c r="F54" s="35"/>
      <c r="G54" s="60"/>
      <c r="H54" s="73"/>
      <c r="I54" s="67" t="s">
        <v>44</v>
      </c>
      <c r="J54" s="67"/>
      <c r="K54" s="114" t="e">
        <f>SUM(J54/G63)*100</f>
        <v>#DIV/0!</v>
      </c>
      <c r="L54" s="76"/>
      <c r="M54" s="76"/>
      <c r="N54" s="76"/>
    </row>
    <row r="55" spans="1:15" ht="15" customHeight="1" x14ac:dyDescent="0.2">
      <c r="A55" s="60"/>
      <c r="B55" s="60"/>
      <c r="C55" s="60"/>
      <c r="D55" s="66"/>
      <c r="E55" s="54"/>
      <c r="F55" s="45"/>
      <c r="G55" s="60"/>
      <c r="H55" s="73"/>
      <c r="I55" s="86"/>
      <c r="J55" s="86"/>
      <c r="K55" s="115"/>
      <c r="L55" s="76"/>
      <c r="M55" s="76"/>
      <c r="N55" s="76"/>
    </row>
    <row r="56" spans="1:15" ht="15" customHeight="1" x14ac:dyDescent="0.2">
      <c r="A56" s="60"/>
      <c r="B56" s="60"/>
      <c r="C56" s="60"/>
      <c r="D56" s="66"/>
      <c r="E56" s="54"/>
      <c r="F56" s="45"/>
      <c r="G56" s="60"/>
      <c r="H56" s="73"/>
      <c r="I56" s="67" t="s">
        <v>42</v>
      </c>
      <c r="J56" s="67"/>
      <c r="K56" s="114" t="e">
        <f>(J56/G63)*100</f>
        <v>#DIV/0!</v>
      </c>
      <c r="L56" s="76"/>
      <c r="M56" s="76"/>
      <c r="N56" s="76"/>
    </row>
    <row r="57" spans="1:15" ht="15" customHeight="1" x14ac:dyDescent="0.2">
      <c r="A57" s="86"/>
      <c r="B57" s="86"/>
      <c r="C57" s="86"/>
      <c r="D57" s="66"/>
      <c r="E57" s="54"/>
      <c r="F57" s="35"/>
      <c r="G57" s="86"/>
      <c r="H57" s="115"/>
      <c r="I57" s="86"/>
      <c r="J57" s="86"/>
      <c r="K57" s="115"/>
      <c r="L57" s="76"/>
      <c r="M57" s="76"/>
      <c r="N57" s="76"/>
    </row>
    <row r="58" spans="1:15" ht="15" customHeight="1" x14ac:dyDescent="0.2">
      <c r="A58" s="66">
        <v>3</v>
      </c>
      <c r="B58" s="66" t="s">
        <v>35</v>
      </c>
      <c r="C58" s="66"/>
      <c r="D58" s="66"/>
      <c r="E58" s="54"/>
      <c r="F58" s="54"/>
      <c r="G58" s="66">
        <f>SUM(E58:E62)</f>
        <v>0</v>
      </c>
      <c r="H58" s="143" t="e">
        <f>(G58/E63)*100</f>
        <v>#DIV/0!</v>
      </c>
      <c r="I58" s="35" t="s">
        <v>43</v>
      </c>
      <c r="J58" s="35"/>
      <c r="K58" s="28" t="e">
        <f>(J58/G63)*100</f>
        <v>#DIV/0!</v>
      </c>
      <c r="L58" s="76"/>
      <c r="M58" s="76"/>
      <c r="N58" s="76"/>
    </row>
    <row r="59" spans="1:15" ht="15" customHeight="1" x14ac:dyDescent="0.2">
      <c r="A59" s="66"/>
      <c r="B59" s="66"/>
      <c r="C59" s="66"/>
      <c r="D59" s="66"/>
      <c r="E59" s="54"/>
      <c r="F59" s="54"/>
      <c r="G59" s="66"/>
      <c r="H59" s="143"/>
      <c r="I59" s="67" t="s">
        <v>42</v>
      </c>
      <c r="J59" s="67"/>
      <c r="K59" s="114" t="e">
        <f>(J59/G63)*100</f>
        <v>#DIV/0!</v>
      </c>
      <c r="L59" s="76"/>
      <c r="M59" s="76"/>
      <c r="N59" s="76"/>
    </row>
    <row r="60" spans="1:15" ht="15" customHeight="1" x14ac:dyDescent="0.2">
      <c r="A60" s="66"/>
      <c r="B60" s="66"/>
      <c r="C60" s="66"/>
      <c r="D60" s="66"/>
      <c r="E60" s="54"/>
      <c r="F60" s="45"/>
      <c r="G60" s="66"/>
      <c r="H60" s="143"/>
      <c r="I60" s="86"/>
      <c r="J60" s="86"/>
      <c r="K60" s="115"/>
      <c r="L60" s="76"/>
      <c r="M60" s="76"/>
      <c r="N60" s="76"/>
    </row>
    <row r="61" spans="1:15" ht="15" customHeight="1" x14ac:dyDescent="0.2">
      <c r="A61" s="66"/>
      <c r="B61" s="66"/>
      <c r="C61" s="66"/>
      <c r="D61" s="66"/>
      <c r="E61" s="54"/>
      <c r="F61" s="45"/>
      <c r="G61" s="66"/>
      <c r="H61" s="143"/>
      <c r="I61" s="67" t="s">
        <v>48</v>
      </c>
      <c r="J61" s="67"/>
      <c r="K61" s="114" t="e">
        <f>(J61/G63)*100</f>
        <v>#DIV/0!</v>
      </c>
      <c r="L61" s="76"/>
      <c r="M61" s="76"/>
      <c r="N61" s="76"/>
    </row>
    <row r="62" spans="1:15" ht="15" customHeight="1" x14ac:dyDescent="0.2">
      <c r="A62" s="66"/>
      <c r="B62" s="66"/>
      <c r="C62" s="66"/>
      <c r="D62" s="66"/>
      <c r="E62" s="54"/>
      <c r="F62" s="45"/>
      <c r="G62" s="66"/>
      <c r="H62" s="143"/>
      <c r="I62" s="86"/>
      <c r="J62" s="86"/>
      <c r="K62" s="115"/>
      <c r="L62" s="76"/>
      <c r="M62" s="76"/>
      <c r="N62" s="76"/>
    </row>
    <row r="63" spans="1:15" x14ac:dyDescent="0.2">
      <c r="A63" s="3"/>
      <c r="B63" s="3"/>
      <c r="C63" s="11">
        <f>SUM(C48:C62)</f>
        <v>0</v>
      </c>
      <c r="D63" s="11"/>
      <c r="E63" s="11">
        <f>SUM(E48:E62)</f>
        <v>0</v>
      </c>
      <c r="F63" s="3"/>
      <c r="G63" s="3">
        <f>SUM(G48:G59)</f>
        <v>0</v>
      </c>
      <c r="H63" s="3"/>
      <c r="I63" s="3"/>
      <c r="J63" s="3">
        <f>SUM(J48:J62)</f>
        <v>0</v>
      </c>
      <c r="K63" s="12"/>
      <c r="L63" s="142"/>
      <c r="M63" s="142"/>
      <c r="N63" s="142"/>
    </row>
    <row r="64" spans="1:15" x14ac:dyDescent="0.2">
      <c r="O64" s="2" t="s">
        <v>9</v>
      </c>
    </row>
  </sheetData>
  <mergeCells count="116">
    <mergeCell ref="K48:K49"/>
    <mergeCell ref="J50:J52"/>
    <mergeCell ref="K50:K52"/>
    <mergeCell ref="L48:L63"/>
    <mergeCell ref="M48:M63"/>
    <mergeCell ref="N48:N63"/>
    <mergeCell ref="A53:A57"/>
    <mergeCell ref="B53:B57"/>
    <mergeCell ref="C53:C57"/>
    <mergeCell ref="D53:D57"/>
    <mergeCell ref="G53:G57"/>
    <mergeCell ref="H53:H57"/>
    <mergeCell ref="I54:I55"/>
    <mergeCell ref="I56:I57"/>
    <mergeCell ref="I61:I62"/>
    <mergeCell ref="I59:I60"/>
    <mergeCell ref="J54:J55"/>
    <mergeCell ref="K54:K55"/>
    <mergeCell ref="G58:G62"/>
    <mergeCell ref="H58:H62"/>
    <mergeCell ref="A58:A62"/>
    <mergeCell ref="B58:B62"/>
    <mergeCell ref="C58:C62"/>
    <mergeCell ref="D58:D62"/>
    <mergeCell ref="A48:A52"/>
    <mergeCell ref="B48:B52"/>
    <mergeCell ref="C48:C52"/>
    <mergeCell ref="D48:D52"/>
    <mergeCell ref="G48:G52"/>
    <mergeCell ref="H48:H52"/>
    <mergeCell ref="I48:I49"/>
    <mergeCell ref="I50:I52"/>
    <mergeCell ref="A42:O42"/>
    <mergeCell ref="A43:O43"/>
    <mergeCell ref="A45:A47"/>
    <mergeCell ref="B45:B47"/>
    <mergeCell ref="C45:D46"/>
    <mergeCell ref="E45:F46"/>
    <mergeCell ref="G45:H46"/>
    <mergeCell ref="I45:K46"/>
    <mergeCell ref="L45:N45"/>
    <mergeCell ref="L46:L47"/>
    <mergeCell ref="M46:M47"/>
    <mergeCell ref="N46:N47"/>
    <mergeCell ref="J56:J57"/>
    <mergeCell ref="K56:K57"/>
    <mergeCell ref="J59:J60"/>
    <mergeCell ref="K59:K60"/>
    <mergeCell ref="J61:J62"/>
    <mergeCell ref="K61:K62"/>
    <mergeCell ref="A23:A27"/>
    <mergeCell ref="B23:B27"/>
    <mergeCell ref="C23:C27"/>
    <mergeCell ref="D23:D27"/>
    <mergeCell ref="G23:G27"/>
    <mergeCell ref="J33:K33"/>
    <mergeCell ref="E36:F36"/>
    <mergeCell ref="A37:A40"/>
    <mergeCell ref="B37:B40"/>
    <mergeCell ref="C37:C40"/>
    <mergeCell ref="D37:D40"/>
    <mergeCell ref="E37:F37"/>
    <mergeCell ref="E38:F38"/>
    <mergeCell ref="E39:F39"/>
    <mergeCell ref="E40:F40"/>
    <mergeCell ref="B28:B32"/>
    <mergeCell ref="C28:C32"/>
    <mergeCell ref="D28:D32"/>
    <mergeCell ref="J27:K27"/>
    <mergeCell ref="J48:J49"/>
    <mergeCell ref="D2:G9"/>
    <mergeCell ref="A11:O11"/>
    <mergeCell ref="A15:A17"/>
    <mergeCell ref="B15:B17"/>
    <mergeCell ref="C15:D16"/>
    <mergeCell ref="E15:F16"/>
    <mergeCell ref="G15:H16"/>
    <mergeCell ref="I15:K16"/>
    <mergeCell ref="L15:N15"/>
    <mergeCell ref="L16:L17"/>
    <mergeCell ref="M16:M17"/>
    <mergeCell ref="N16:N17"/>
    <mergeCell ref="J30:J31"/>
    <mergeCell ref="K28:K29"/>
    <mergeCell ref="K30:K31"/>
    <mergeCell ref="G28:G32"/>
    <mergeCell ref="H28:H32"/>
    <mergeCell ref="J32:K32"/>
    <mergeCell ref="K23:K24"/>
    <mergeCell ref="K25:K26"/>
    <mergeCell ref="J28:J29"/>
    <mergeCell ref="E41:F41"/>
    <mergeCell ref="A18:A22"/>
    <mergeCell ref="B18:B22"/>
    <mergeCell ref="C18:C22"/>
    <mergeCell ref="D18:D22"/>
    <mergeCell ref="G18:G22"/>
    <mergeCell ref="H18:H22"/>
    <mergeCell ref="M18:M32"/>
    <mergeCell ref="N18:N32"/>
    <mergeCell ref="J22:K22"/>
    <mergeCell ref="H23:H27"/>
    <mergeCell ref="L18:L32"/>
    <mergeCell ref="I28:I29"/>
    <mergeCell ref="I30:I31"/>
    <mergeCell ref="I23:I24"/>
    <mergeCell ref="I25:I26"/>
    <mergeCell ref="I18:I19"/>
    <mergeCell ref="I20:I21"/>
    <mergeCell ref="A28:A32"/>
    <mergeCell ref="K20:K21"/>
    <mergeCell ref="K18:K19"/>
    <mergeCell ref="J18:J19"/>
    <mergeCell ref="J20:J21"/>
    <mergeCell ref="J23:J24"/>
    <mergeCell ref="J25:J26"/>
  </mergeCells>
  <pageMargins left="0.25" right="0.25" top="0.75" bottom="0.75" header="0.3" footer="0.3"/>
  <pageSetup scale="69" fitToHeight="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2_Click">
                <anchor moveWithCells="1" sizeWithCells="1">
                  <from>
                    <xdr:col>14</xdr:col>
                    <xdr:colOff>523875</xdr:colOff>
                    <xdr:row>14</xdr:row>
                    <xdr:rowOff>76200</xdr:rowOff>
                  </from>
                  <to>
                    <xdr:col>17</xdr:col>
                    <xdr:colOff>85725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utton4_Click">
                <anchor moveWithCells="1" sizeWithCells="1">
                  <from>
                    <xdr:col>15</xdr:col>
                    <xdr:colOff>257175</xdr:colOff>
                    <xdr:row>19</xdr:row>
                    <xdr:rowOff>76200</xdr:rowOff>
                  </from>
                  <to>
                    <xdr:col>16</xdr:col>
                    <xdr:colOff>409575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Maturate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DELIA</dc:creator>
  <cp:lastModifiedBy>SSM</cp:lastModifiedBy>
  <cp:lastPrinted>2024-06-04T08:05:28Z</cp:lastPrinted>
  <dcterms:created xsi:type="dcterms:W3CDTF">2015-06-05T18:17:20Z</dcterms:created>
  <dcterms:modified xsi:type="dcterms:W3CDTF">2024-07-18T05:35:20Z</dcterms:modified>
</cp:coreProperties>
</file>